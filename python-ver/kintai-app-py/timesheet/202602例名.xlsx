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81806\Desktop\Github\kintai-app\python-ver\kintai-app-py\timesheet\"/>
    </mc:Choice>
  </mc:AlternateContent>
  <xr:revisionPtr revIDLastSave="0" documentId="13_ncr:1_{22F6F7B7-61CE-41F9-B102-45E2152B4714}" xr6:coauthVersionLast="47" xr6:coauthVersionMax="47" xr10:uidLastSave="{00000000-0000-0000-0000-000000000000}"/>
  <bookViews>
    <workbookView xWindow="0" yWindow="5535" windowWidth="28800" windowHeight="15345" xr2:uid="{00000000-000D-0000-FFFF-FFFF00000000}"/>
  </bookViews>
  <sheets>
    <sheet name="Timesheet" sheetId="1" r:id="rId1"/>
  </sheets>
  <definedNames>
    <definedName name="休憩時間SBA">#REF!</definedName>
    <definedName name="残業種別SBA">#REF!</definedName>
    <definedName name="始業時刻SBA">#REF!</definedName>
    <definedName name="就労SBA">#REF!</definedName>
    <definedName name="終業時刻SB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J48" i="1" s="1"/>
  <c r="K48" i="1" s="1"/>
  <c r="H48" i="1"/>
  <c r="C48" i="1"/>
  <c r="D48" i="1" s="1"/>
  <c r="I47" i="1"/>
  <c r="J47" i="1" s="1"/>
  <c r="K47" i="1" s="1"/>
  <c r="H47" i="1"/>
  <c r="C47" i="1"/>
  <c r="D47" i="1" s="1"/>
  <c r="I46" i="1"/>
  <c r="J46" i="1" s="1"/>
  <c r="K46" i="1" s="1"/>
  <c r="H46" i="1"/>
  <c r="C46" i="1"/>
  <c r="D46" i="1" s="1"/>
  <c r="I45" i="1"/>
  <c r="J45" i="1" s="1"/>
  <c r="K45" i="1" s="1"/>
  <c r="H45" i="1"/>
  <c r="D45" i="1"/>
  <c r="I44" i="1"/>
  <c r="J44" i="1" s="1"/>
  <c r="K44" i="1" s="1"/>
  <c r="H44" i="1"/>
  <c r="D44" i="1"/>
  <c r="I43" i="1"/>
  <c r="J43" i="1" s="1"/>
  <c r="K43" i="1" s="1"/>
  <c r="H43" i="1"/>
  <c r="D43" i="1"/>
  <c r="I42" i="1"/>
  <c r="J42" i="1" s="1"/>
  <c r="K42" i="1" s="1"/>
  <c r="H42" i="1"/>
  <c r="D42" i="1"/>
  <c r="I41" i="1"/>
  <c r="J41" i="1" s="1"/>
  <c r="K41" i="1" s="1"/>
  <c r="H41" i="1"/>
  <c r="D41" i="1"/>
  <c r="I40" i="1"/>
  <c r="J40" i="1" s="1"/>
  <c r="K40" i="1" s="1"/>
  <c r="H40" i="1"/>
  <c r="D40" i="1"/>
  <c r="I39" i="1"/>
  <c r="J39" i="1" s="1"/>
  <c r="K39" i="1" s="1"/>
  <c r="H39" i="1"/>
  <c r="D39" i="1"/>
  <c r="I38" i="1"/>
  <c r="J38" i="1" s="1"/>
  <c r="H38" i="1"/>
  <c r="D38" i="1"/>
  <c r="H37" i="1"/>
  <c r="I37" i="1" s="1"/>
  <c r="J37" i="1" s="1"/>
  <c r="D37" i="1"/>
  <c r="H36" i="1"/>
  <c r="I36" i="1" s="1"/>
  <c r="J36" i="1" s="1"/>
  <c r="D36" i="1"/>
  <c r="I35" i="1"/>
  <c r="J35" i="1" s="1"/>
  <c r="H35" i="1"/>
  <c r="D35" i="1"/>
  <c r="I34" i="1"/>
  <c r="J34" i="1" s="1"/>
  <c r="K34" i="1" s="1"/>
  <c r="H34" i="1"/>
  <c r="D34" i="1"/>
  <c r="I33" i="1"/>
  <c r="J33" i="1" s="1"/>
  <c r="K33" i="1" s="1"/>
  <c r="H33" i="1"/>
  <c r="D33" i="1"/>
  <c r="I32" i="1"/>
  <c r="J32" i="1" s="1"/>
  <c r="K32" i="1" s="1"/>
  <c r="H32" i="1"/>
  <c r="D32" i="1"/>
  <c r="I31" i="1"/>
  <c r="J31" i="1" s="1"/>
  <c r="K31" i="1" s="1"/>
  <c r="H31" i="1"/>
  <c r="D31" i="1"/>
  <c r="I30" i="1"/>
  <c r="J30" i="1" s="1"/>
  <c r="K30" i="1" s="1"/>
  <c r="H30" i="1"/>
  <c r="D30" i="1"/>
  <c r="I29" i="1"/>
  <c r="J29" i="1" s="1"/>
  <c r="K29" i="1" s="1"/>
  <c r="H29" i="1"/>
  <c r="D29" i="1"/>
  <c r="I28" i="1"/>
  <c r="J28" i="1" s="1"/>
  <c r="K28" i="1" s="1"/>
  <c r="H28" i="1"/>
  <c r="D28" i="1"/>
  <c r="I27" i="1"/>
  <c r="J27" i="1" s="1"/>
  <c r="K27" i="1" s="1"/>
  <c r="H27" i="1"/>
  <c r="D27" i="1"/>
  <c r="I26" i="1"/>
  <c r="J26" i="1" s="1"/>
  <c r="K26" i="1" s="1"/>
  <c r="H26" i="1"/>
  <c r="D26" i="1"/>
  <c r="I25" i="1"/>
  <c r="J25" i="1" s="1"/>
  <c r="K25" i="1" s="1"/>
  <c r="H25" i="1"/>
  <c r="D25" i="1"/>
  <c r="I24" i="1"/>
  <c r="J24" i="1" s="1"/>
  <c r="K24" i="1" s="1"/>
  <c r="H24" i="1"/>
  <c r="D24" i="1"/>
  <c r="I23" i="1"/>
  <c r="J23" i="1" s="1"/>
  <c r="K23" i="1" s="1"/>
  <c r="H23" i="1"/>
  <c r="D23" i="1"/>
  <c r="I22" i="1"/>
  <c r="J22" i="1" s="1"/>
  <c r="K22" i="1" s="1"/>
  <c r="H22" i="1"/>
  <c r="D22" i="1"/>
  <c r="I21" i="1"/>
  <c r="J21" i="1" s="1"/>
  <c r="K21" i="1" s="1"/>
  <c r="H21" i="1"/>
  <c r="D21" i="1"/>
  <c r="I20" i="1"/>
  <c r="J20" i="1" s="1"/>
  <c r="K20" i="1" s="1"/>
  <c r="H20" i="1"/>
  <c r="D20" i="1"/>
  <c r="I19" i="1"/>
  <c r="J19" i="1" s="1"/>
  <c r="K19" i="1" s="1"/>
  <c r="H19" i="1"/>
  <c r="D19" i="1"/>
  <c r="H18" i="1"/>
  <c r="I18" i="1" s="1"/>
  <c r="D18" i="1"/>
  <c r="I49" i="1" l="1"/>
  <c r="J18" i="1"/>
  <c r="J49" i="1" l="1"/>
  <c r="K18" i="1"/>
</calcChain>
</file>

<file path=xl/sharedStrings.xml><?xml version="1.0" encoding="utf-8"?>
<sst xmlns="http://schemas.openxmlformats.org/spreadsheetml/2006/main" count="16" uniqueCount="16">
  <si>
    <t>Sample</t>
  </si>
  <si>
    <t>年</t>
  </si>
  <si>
    <t>月 勤務表</t>
  </si>
  <si>
    <t>部署</t>
  </si>
  <si>
    <t>基本時間</t>
  </si>
  <si>
    <t>氏名</t>
  </si>
  <si>
    <t>日</t>
  </si>
  <si>
    <t>曜</t>
  </si>
  <si>
    <t>就労</t>
  </si>
  <si>
    <t>始業時刻</t>
  </si>
  <si>
    <t>終業時刻</t>
  </si>
  <si>
    <t>休憩時間</t>
  </si>
  <si>
    <t>実働時間</t>
  </si>
  <si>
    <t>残業時間</t>
  </si>
  <si>
    <t>残業種別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</si>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</sst>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h:mm;@"/>
    <numFmt numFmtId="177" formatCode="yyyy/mm/dd"/>
    <numFmt numFmtId="178" formatCode="0_ "/>
    <numFmt numFmtId="179" formatCode="aaa"/>
    <numFmt numFmtId="180" formatCode="[h]:mm"/>
    <numFmt numFmtId="181" formatCode="00"/>
    <numFmt numFmtId="182" formatCode="0.0_ &quot;日&quot;"/>
    <numFmt numFmtId="183" formatCode="\¥#,##0;&quot;¥-&quot;#,##0"/>
  </numFmts>
  <fonts count="20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8"/>
      <color rgb="FFFFFFFF"/>
      <name val="Meryo "/>
    </font>
    <font>
      <sz val="14"/>
      <color rgb="FF333333"/>
      <name val="Meryo "/>
    </font>
    <font>
      <sz val="14"/>
      <name val="Meryo "/>
      <family val="2"/>
    </font>
    <font>
      <sz val="8"/>
      <name val="Meryo "/>
      <family val="2"/>
    </font>
    <font>
      <b/>
      <sz val="12"/>
      <color rgb="FFFF6600"/>
      <name val="Meryo "/>
      <family val="2"/>
    </font>
    <font>
      <sz val="10"/>
      <name val="Meryo "/>
      <family val="2"/>
    </font>
    <font>
      <sz val="11"/>
      <color theme="1"/>
      <name val="Meryo "/>
      <family val="2"/>
    </font>
    <font>
      <b/>
      <sz val="11"/>
      <name val="Meryo "/>
      <family val="2"/>
    </font>
    <font>
      <b/>
      <sz val="11"/>
      <color rgb="FFFF6600"/>
      <name val="Meryo "/>
      <family val="2"/>
    </font>
    <font>
      <sz val="12"/>
      <name val="Meryo "/>
      <family val="2"/>
    </font>
    <font>
      <sz val="11"/>
      <color rgb="FF008000"/>
      <name val="Meryo "/>
      <family val="2"/>
    </font>
    <font>
      <b/>
      <sz val="12"/>
      <name val="Meryo "/>
      <family val="2"/>
    </font>
    <font>
      <sz val="11"/>
      <name val="Meryo "/>
      <family val="2"/>
    </font>
    <font>
      <sz val="8"/>
      <color rgb="FFFFFFFF"/>
      <name val="Meryo "/>
      <family val="2"/>
    </font>
    <font>
      <sz val="9"/>
      <name val="Meryo "/>
      <family val="2"/>
    </font>
    <font>
      <b/>
      <sz val="8"/>
      <name val="Meryo "/>
      <family val="2"/>
    </font>
    <font>
      <b/>
      <sz val="10"/>
      <name val="Meryo 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4.9989318521683403E-2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tted">
        <color auto="1"/>
      </bottom>
      <diagonal/>
    </border>
    <border>
      <left/>
      <right style="thin">
        <color auto="1"/>
      </right>
      <top style="thin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>
      <alignment vertical="center"/>
    </xf>
  </cellStyleXfs>
  <cellXfs count="82">
    <xf numFmtId="0" fontId="0" fillId="0" borderId="0" xfId="0"/>
    <xf numFmtId="0" fontId="3" fillId="0" borderId="0" xfId="1" applyFont="1"/>
    <xf numFmtId="0" fontId="5" fillId="0" borderId="0" xfId="1" applyFont="1" applyAlignment="1" applyProtection="1">
      <alignment vertical="center"/>
      <protection locked="0"/>
    </xf>
    <xf numFmtId="0" fontId="6" fillId="0" borderId="0" xfId="1" applyFont="1"/>
    <xf numFmtId="0" fontId="8" fillId="0" borderId="0" xfId="1" applyFont="1"/>
    <xf numFmtId="0" fontId="6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9" fillId="0" borderId="2" xfId="1" applyFont="1" applyBorder="1"/>
    <xf numFmtId="0" fontId="9" fillId="0" borderId="2" xfId="1" applyFont="1" applyBorder="1" applyProtection="1">
      <protection locked="0"/>
    </xf>
    <xf numFmtId="176" fontId="10" fillId="0" borderId="0" xfId="1" applyNumberFormat="1" applyFont="1" applyAlignment="1">
      <alignment horizontal="center"/>
    </xf>
    <xf numFmtId="176" fontId="11" fillId="0" borderId="0" xfId="1" applyNumberFormat="1" applyFont="1" applyAlignment="1">
      <alignment horizontal="center"/>
    </xf>
    <xf numFmtId="0" fontId="9" fillId="0" borderId="3" xfId="1" applyFont="1" applyBorder="1" applyAlignment="1">
      <alignment horizontal="left"/>
    </xf>
    <xf numFmtId="0" fontId="12" fillId="0" borderId="3" xfId="1" applyFont="1" applyBorder="1" applyAlignment="1" applyProtection="1">
      <alignment horizontal="left" vertical="center"/>
      <protection locked="0"/>
    </xf>
    <xf numFmtId="0" fontId="6" fillId="0" borderId="4" xfId="1" applyFont="1" applyBorder="1"/>
    <xf numFmtId="176" fontId="11" fillId="0" borderId="0" xfId="1" applyNumberFormat="1" applyFont="1" applyAlignment="1" applyProtection="1">
      <alignment horizontal="center"/>
      <protection locked="0"/>
    </xf>
    <xf numFmtId="0" fontId="13" fillId="0" borderId="0" xfId="1" applyFont="1"/>
    <xf numFmtId="0" fontId="14" fillId="0" borderId="0" xfId="1" applyFont="1"/>
    <xf numFmtId="0" fontId="6" fillId="0" borderId="0" xfId="2" applyFont="1">
      <alignment vertical="center"/>
    </xf>
    <xf numFmtId="1" fontId="9" fillId="0" borderId="0" xfId="1" applyNumberFormat="1" applyFont="1" applyProtection="1">
      <protection locked="0"/>
    </xf>
    <xf numFmtId="0" fontId="8" fillId="0" borderId="0" xfId="1" applyFont="1" applyAlignment="1">
      <alignment horizontal="left"/>
    </xf>
    <xf numFmtId="177" fontId="6" fillId="0" borderId="0" xfId="2" applyNumberFormat="1" applyFont="1">
      <alignment vertical="center"/>
    </xf>
    <xf numFmtId="0" fontId="15" fillId="3" borderId="8" xfId="1" applyFont="1" applyFill="1" applyBorder="1" applyAlignment="1">
      <alignment horizontal="center" vertical="center"/>
    </xf>
    <xf numFmtId="178" fontId="16" fillId="0" borderId="0" xfId="1" applyNumberFormat="1" applyFont="1"/>
    <xf numFmtId="0" fontId="17" fillId="0" borderId="12" xfId="1" applyFont="1" applyBorder="1" applyAlignment="1">
      <alignment horizontal="center"/>
    </xf>
    <xf numFmtId="179" fontId="17" fillId="0" borderId="12" xfId="1" applyNumberFormat="1" applyFont="1" applyBorder="1" applyAlignment="1">
      <alignment horizontal="center"/>
    </xf>
    <xf numFmtId="0" fontId="15" fillId="0" borderId="14" xfId="1" applyFont="1" applyBorder="1" applyAlignment="1" applyProtection="1">
      <alignment horizontal="center"/>
      <protection locked="0" hidden="1"/>
    </xf>
    <xf numFmtId="180" fontId="8" fillId="0" borderId="12" xfId="1" applyNumberFormat="1" applyFont="1" applyBorder="1" applyAlignment="1" applyProtection="1">
      <alignment horizontal="right"/>
      <protection locked="0"/>
    </xf>
    <xf numFmtId="180" fontId="8" fillId="0" borderId="12" xfId="1" applyNumberFormat="1" applyFont="1" applyBorder="1" applyAlignment="1" applyProtection="1">
      <alignment horizontal="right"/>
      <protection locked="0" hidden="1"/>
    </xf>
    <xf numFmtId="180" fontId="17" fillId="0" borderId="15" xfId="1" applyNumberFormat="1" applyFont="1" applyBorder="1" applyAlignment="1">
      <alignment horizontal="right"/>
    </xf>
    <xf numFmtId="0" fontId="17" fillId="0" borderId="12" xfId="1" applyFont="1" applyBorder="1" applyAlignment="1" applyProtection="1">
      <alignment horizontal="right"/>
      <protection locked="0"/>
    </xf>
    <xf numFmtId="0" fontId="17" fillId="0" borderId="5" xfId="1" applyFont="1" applyBorder="1" applyAlignment="1">
      <alignment horizontal="center"/>
    </xf>
    <xf numFmtId="179" fontId="17" fillId="0" borderId="5" xfId="1" applyNumberFormat="1" applyFont="1" applyBorder="1" applyAlignment="1">
      <alignment horizontal="center"/>
    </xf>
    <xf numFmtId="0" fontId="15" fillId="0" borderId="6" xfId="1" applyFont="1" applyBorder="1" applyAlignment="1" applyProtection="1">
      <alignment horizontal="center"/>
      <protection locked="0" hidden="1"/>
    </xf>
    <xf numFmtId="20" fontId="8" fillId="0" borderId="5" xfId="1" applyNumberFormat="1" applyFont="1" applyBorder="1" applyAlignment="1" applyProtection="1">
      <alignment horizontal="right"/>
      <protection locked="0"/>
    </xf>
    <xf numFmtId="180" fontId="8" fillId="0" borderId="5" xfId="1" applyNumberFormat="1" applyFont="1" applyBorder="1" applyAlignment="1" applyProtection="1">
      <alignment horizontal="right"/>
      <protection locked="0" hidden="1"/>
    </xf>
    <xf numFmtId="180" fontId="17" fillId="0" borderId="7" xfId="1" applyNumberFormat="1" applyFont="1" applyBorder="1" applyAlignment="1">
      <alignment horizontal="right"/>
    </xf>
    <xf numFmtId="0" fontId="17" fillId="0" borderId="5" xfId="1" applyFont="1" applyBorder="1" applyAlignment="1" applyProtection="1">
      <alignment horizontal="right"/>
      <protection locked="0"/>
    </xf>
    <xf numFmtId="180" fontId="8" fillId="0" borderId="5" xfId="1" applyNumberFormat="1" applyFont="1" applyBorder="1" applyAlignment="1" applyProtection="1">
      <alignment horizontal="right"/>
      <protection locked="0"/>
    </xf>
    <xf numFmtId="0" fontId="17" fillId="2" borderId="5" xfId="1" applyFont="1" applyFill="1" applyBorder="1" applyAlignment="1">
      <alignment horizontal="center"/>
    </xf>
    <xf numFmtId="179" fontId="17" fillId="2" borderId="5" xfId="1" applyNumberFormat="1" applyFont="1" applyFill="1" applyBorder="1" applyAlignment="1">
      <alignment horizontal="center"/>
    </xf>
    <xf numFmtId="0" fontId="17" fillId="2" borderId="5" xfId="1" applyFont="1" applyFill="1" applyBorder="1" applyAlignment="1" applyProtection="1">
      <alignment horizontal="right"/>
      <protection locked="0"/>
    </xf>
    <xf numFmtId="0" fontId="17" fillId="0" borderId="16" xfId="1" applyFont="1" applyBorder="1" applyAlignment="1">
      <alignment horizontal="center"/>
    </xf>
    <xf numFmtId="179" fontId="17" fillId="0" borderId="16" xfId="1" applyNumberFormat="1" applyFont="1" applyBorder="1" applyAlignment="1">
      <alignment horizontal="center"/>
    </xf>
    <xf numFmtId="0" fontId="15" fillId="0" borderId="17" xfId="1" applyFont="1" applyBorder="1" applyAlignment="1" applyProtection="1">
      <alignment horizontal="center"/>
      <protection locked="0" hidden="1"/>
    </xf>
    <xf numFmtId="180" fontId="8" fillId="0" borderId="16" xfId="1" applyNumberFormat="1" applyFont="1" applyBorder="1" applyAlignment="1" applyProtection="1">
      <alignment horizontal="right"/>
      <protection locked="0"/>
    </xf>
    <xf numFmtId="180" fontId="8" fillId="0" borderId="16" xfId="1" applyNumberFormat="1" applyFont="1" applyBorder="1" applyAlignment="1" applyProtection="1">
      <alignment horizontal="right"/>
      <protection locked="0" hidden="1"/>
    </xf>
    <xf numFmtId="180" fontId="17" fillId="0" borderId="18" xfId="1" applyNumberFormat="1" applyFont="1" applyBorder="1" applyAlignment="1">
      <alignment horizontal="right"/>
    </xf>
    <xf numFmtId="0" fontId="17" fillId="0" borderId="16" xfId="1" applyFont="1" applyBorder="1" applyAlignment="1" applyProtection="1">
      <alignment horizontal="right"/>
      <protection locked="0"/>
    </xf>
    <xf numFmtId="181" fontId="18" fillId="0" borderId="11" xfId="1" applyNumberFormat="1" applyFont="1" applyBorder="1" applyAlignment="1">
      <alignment horizontal="center" vertical="center"/>
    </xf>
    <xf numFmtId="182" fontId="19" fillId="0" borderId="11" xfId="1" applyNumberFormat="1" applyFont="1" applyBorder="1" applyAlignment="1">
      <alignment horizontal="center" vertical="center"/>
    </xf>
    <xf numFmtId="0" fontId="17" fillId="0" borderId="11" xfId="1" applyFont="1" applyBorder="1" applyAlignment="1">
      <alignment horizontal="left"/>
    </xf>
    <xf numFmtId="180" fontId="17" fillId="4" borderId="10" xfId="1" applyNumberFormat="1" applyFont="1" applyFill="1" applyBorder="1" applyAlignment="1">
      <alignment horizontal="right" vertical="center"/>
    </xf>
    <xf numFmtId="0" fontId="6" fillId="0" borderId="8" xfId="1" applyFont="1" applyBorder="1" applyAlignment="1">
      <alignment horizontal="left" shrinkToFit="1"/>
    </xf>
    <xf numFmtId="0" fontId="19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180" fontId="17" fillId="0" borderId="0" xfId="1" applyNumberFormat="1" applyFont="1" applyAlignment="1">
      <alignment horizontal="right" vertical="center"/>
    </xf>
    <xf numFmtId="181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shrinkToFit="1"/>
    </xf>
    <xf numFmtId="183" fontId="6" fillId="0" borderId="0" xfId="1" applyNumberFormat="1" applyFont="1"/>
    <xf numFmtId="0" fontId="12" fillId="0" borderId="0" xfId="1" applyFont="1"/>
    <xf numFmtId="0" fontId="8" fillId="0" borderId="0" xfId="0" applyFont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76" fontId="17" fillId="0" borderId="15" xfId="1" applyNumberFormat="1" applyFont="1" applyBorder="1" applyAlignment="1" applyProtection="1">
      <alignment horizontal="left"/>
      <protection locked="0"/>
    </xf>
    <xf numFmtId="176" fontId="17" fillId="0" borderId="7" xfId="1" applyNumberFormat="1" applyFont="1" applyBorder="1" applyAlignment="1" applyProtection="1">
      <alignment horizontal="left"/>
      <protection locked="0"/>
    </xf>
    <xf numFmtId="180" fontId="17" fillId="0" borderId="12" xfId="1" applyNumberFormat="1" applyFont="1" applyBorder="1" applyAlignment="1">
      <alignment horizontal="right"/>
    </xf>
    <xf numFmtId="180" fontId="17" fillId="0" borderId="5" xfId="1" applyNumberFormat="1" applyFont="1" applyBorder="1" applyAlignment="1">
      <alignment horizontal="right"/>
    </xf>
    <xf numFmtId="180" fontId="17" fillId="0" borderId="13" xfId="1" applyNumberFormat="1" applyFont="1" applyBorder="1" applyAlignment="1">
      <alignment horizontal="right"/>
    </xf>
    <xf numFmtId="181" fontId="6" fillId="0" borderId="10" xfId="1" applyNumberFormat="1" applyFont="1" applyBorder="1" applyAlignment="1">
      <alignment horizontal="center" vertical="center"/>
    </xf>
    <xf numFmtId="180" fontId="17" fillId="4" borderId="8" xfId="1" applyNumberFormat="1" applyFont="1" applyFill="1" applyBorder="1" applyAlignment="1">
      <alignment horizontal="right" vertical="center"/>
    </xf>
    <xf numFmtId="0" fontId="7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4" fillId="0" borderId="1" xfId="1" applyFont="1" applyBorder="1" applyAlignment="1">
      <alignment horizontal="center" vertical="center"/>
    </xf>
    <xf numFmtId="0" fontId="0" fillId="0" borderId="1" xfId="0" applyBorder="1"/>
    <xf numFmtId="0" fontId="8" fillId="0" borderId="0" xfId="1" applyFont="1" applyAlignment="1">
      <alignment horizontal="left"/>
    </xf>
    <xf numFmtId="0" fontId="6" fillId="0" borderId="9" xfId="1" applyFont="1" applyBorder="1" applyAlignment="1">
      <alignment horizontal="left"/>
    </xf>
    <xf numFmtId="0" fontId="0" fillId="0" borderId="11" xfId="0" applyBorder="1"/>
  </cellXfs>
  <cellStyles count="3">
    <cellStyle name="標準" xfId="0" builtinId="0"/>
    <cellStyle name="標準_【桝田】社員常務委託用勤務時間計算(CTCT_SMS）様_200807" xfId="1" xr:uid="{00000000-0005-0000-0000-000001000000}"/>
    <cellStyle name="標準_45（桝田）フレックス" xfId="2" xr:uid="{00000000-0005-0000-0000-000002000000}"/>
  </cellStyles>
  <dxfs count="2">
    <dxf>
      <fill>
        <patternFill>
          <bgColor theme="8" tint="0.59987182226020086"/>
        </patternFill>
      </fill>
    </dxf>
    <dxf>
      <fill>
        <patternFill>
          <bgColor theme="8" tint="0.599871822260200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57"/>
  <sheetViews>
    <sheetView showGridLines="0" tabSelected="1" topLeftCell="B1" workbookViewId="0">
      <selection activeCell="C7" sqref="C7:D7"/>
    </sheetView>
  </sheetViews>
  <sheetFormatPr defaultColWidth="3" defaultRowHeight="12.75" customHeight="1"/>
  <cols>
    <col min="1" max="1" width="0.125" style="3" hidden="1" customWidth="1"/>
    <col min="2" max="2" width="0.375" style="1" customWidth="1"/>
    <col min="3" max="4" width="3.125" style="3" customWidth="1"/>
    <col min="5" max="5" width="13.625" style="3" customWidth="1"/>
    <col min="6" max="8" width="10.625" style="3" customWidth="1"/>
    <col min="9" max="10" width="9.625" style="3" customWidth="1"/>
    <col min="11" max="11" width="10.625" style="3" customWidth="1"/>
    <col min="12" max="12" width="25.625" style="3" customWidth="1"/>
    <col min="13" max="13" width="9.625" style="3" customWidth="1"/>
    <col min="14" max="14" width="20.625" style="3" customWidth="1"/>
    <col min="15" max="28" width="3" style="3" customWidth="1"/>
    <col min="29" max="16384" width="3" style="3"/>
  </cols>
  <sheetData>
    <row r="4" spans="3:15" ht="20.25" customHeight="1" thickBot="1">
      <c r="C4" s="77" t="s">
        <v>0</v>
      </c>
      <c r="D4" s="78"/>
      <c r="E4" s="78"/>
      <c r="F4" s="78"/>
      <c r="G4" s="78"/>
      <c r="H4" s="78"/>
      <c r="I4" s="2"/>
      <c r="J4" s="2"/>
      <c r="K4" s="2"/>
      <c r="L4" s="2"/>
      <c r="M4" s="2"/>
      <c r="N4" s="2"/>
    </row>
    <row r="5" spans="3:15" ht="14.25" customHeight="1"/>
    <row r="6" spans="3:15" ht="16.5" customHeight="1" thickBot="1">
      <c r="C6" s="73">
        <v>2026</v>
      </c>
      <c r="D6" s="74"/>
      <c r="E6" s="4" t="s">
        <v>1</v>
      </c>
      <c r="F6" s="5"/>
      <c r="G6" s="5"/>
      <c r="H6" s="5"/>
      <c r="I6" s="5"/>
    </row>
    <row r="7" spans="3:15" ht="18.75" customHeight="1">
      <c r="C7" s="75">
        <v>2</v>
      </c>
      <c r="D7" s="76"/>
      <c r="E7" s="4" t="s">
        <v>2</v>
      </c>
      <c r="F7" s="6"/>
      <c r="G7" s="6"/>
      <c r="H7" s="6"/>
      <c r="I7" s="6"/>
      <c r="K7" s="7" t="s">
        <v>3</v>
      </c>
      <c r="L7" s="8"/>
    </row>
    <row r="8" spans="3:15" ht="19.5" customHeight="1" thickBot="1">
      <c r="E8" s="4"/>
      <c r="F8" s="9" t="s">
        <v>4</v>
      </c>
      <c r="G8" s="10"/>
      <c r="H8" s="10"/>
      <c r="I8" s="10"/>
      <c r="K8" s="11" t="s">
        <v>5</v>
      </c>
      <c r="L8" s="12"/>
      <c r="M8" s="13"/>
    </row>
    <row r="9" spans="3:15" ht="13.5" customHeight="1">
      <c r="E9" s="4"/>
      <c r="F9" s="10">
        <v>0.33333333333333331</v>
      </c>
      <c r="G9" s="14"/>
      <c r="K9" s="15"/>
    </row>
    <row r="10" spans="3:15" ht="15.75" customHeight="1">
      <c r="C10" s="16"/>
      <c r="L10" s="17"/>
      <c r="M10" s="18"/>
    </row>
    <row r="11" spans="3:15" ht="12.75" customHeight="1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3:15" ht="12.75" customHeight="1">
      <c r="C12" s="4"/>
      <c r="N12" s="17"/>
      <c r="O12" s="17"/>
    </row>
    <row r="13" spans="3:15" ht="12.75" customHeight="1">
      <c r="C13" s="79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17"/>
      <c r="O13" s="17"/>
    </row>
    <row r="14" spans="3:15" ht="12.75" customHeight="1">
      <c r="C14" s="79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17"/>
      <c r="O14" s="17"/>
    </row>
    <row r="15" spans="3:15" ht="12.75" customHeight="1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/>
      <c r="O15" s="17"/>
    </row>
    <row r="16" spans="3:15" ht="12.75" customHeight="1">
      <c r="E16" s="20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2:12" ht="17.25" customHeight="1">
      <c r="C17" s="21" t="s">
        <v>6</v>
      </c>
      <c r="D17" s="21" t="s">
        <v>7</v>
      </c>
      <c r="E17" s="21" t="s">
        <v>8</v>
      </c>
      <c r="F17" s="21" t="s">
        <v>9</v>
      </c>
      <c r="G17" s="21" t="s">
        <v>10</v>
      </c>
      <c r="H17" s="21" t="s">
        <v>11</v>
      </c>
      <c r="I17" s="21" t="s">
        <v>12</v>
      </c>
      <c r="J17" s="21" t="s">
        <v>13</v>
      </c>
      <c r="K17" s="21" t="s">
        <v>14</v>
      </c>
      <c r="L17" s="21" t="s">
        <v>15</v>
      </c>
    </row>
    <row r="18" spans="2:12" ht="17.25" customHeight="1">
      <c r="B18" s="22">
        <v>1</v>
      </c>
      <c r="C18" s="23">
        <v>1</v>
      </c>
      <c r="D18" s="24">
        <f t="shared" ref="D18:D46" si="0">IF(C18="","",WEEKDAY(DATE($C$6,$C$7,C18)))</f>
        <v>1</v>
      </c>
      <c r="E18" s="25"/>
      <c r="F18" s="26"/>
      <c r="G18" s="26"/>
      <c r="H18" s="27" t="str">
        <f t="shared" ref="H18:H48" si="1">IF(G18="","",IF(OR(AND(F18&gt;G18,G18+1-F18&gt;=0.25),G18-F18&gt;=0.25),"1:00",0))</f>
        <v/>
      </c>
      <c r="I18" s="28" t="str">
        <f t="shared" ref="I18:I48" si="2">IF(G18="","",G18-F18-H18)</f>
        <v/>
      </c>
      <c r="J18" s="68" t="str">
        <f t="shared" ref="J18:J48" si="3">IFERROR(IF($F$8&lt;I18, I18-$F$8, ""), "")</f>
        <v/>
      </c>
      <c r="K18" s="66" t="str">
        <f t="shared" ref="K18:K34" si="4">IF(J18="","","残業種別を入れて下さい")</f>
        <v/>
      </c>
      <c r="L18" s="29"/>
    </row>
    <row r="19" spans="2:12" ht="17.25" customHeight="1">
      <c r="B19" s="22">
        <v>2</v>
      </c>
      <c r="C19" s="30">
        <v>2</v>
      </c>
      <c r="D19" s="31">
        <f t="shared" si="0"/>
        <v>2</v>
      </c>
      <c r="E19" s="32"/>
      <c r="F19" s="33"/>
      <c r="G19" s="37"/>
      <c r="H19" s="34" t="str">
        <f t="shared" si="1"/>
        <v/>
      </c>
      <c r="I19" s="35" t="str">
        <f t="shared" si="2"/>
        <v/>
      </c>
      <c r="J19" s="69" t="str">
        <f t="shared" si="3"/>
        <v/>
      </c>
      <c r="K19" s="67" t="str">
        <f t="shared" si="4"/>
        <v/>
      </c>
      <c r="L19" s="36"/>
    </row>
    <row r="20" spans="2:12" ht="17.25" customHeight="1">
      <c r="B20" s="22">
        <v>3</v>
      </c>
      <c r="C20" s="30">
        <v>3</v>
      </c>
      <c r="D20" s="31">
        <f t="shared" si="0"/>
        <v>3</v>
      </c>
      <c r="E20" s="32"/>
      <c r="F20" s="33"/>
      <c r="G20" s="37"/>
      <c r="H20" s="34" t="str">
        <f t="shared" si="1"/>
        <v/>
      </c>
      <c r="I20" s="35" t="str">
        <f t="shared" si="2"/>
        <v/>
      </c>
      <c r="J20" s="69" t="str">
        <f t="shared" si="3"/>
        <v/>
      </c>
      <c r="K20" s="67" t="str">
        <f t="shared" si="4"/>
        <v/>
      </c>
      <c r="L20" s="36"/>
    </row>
    <row r="21" spans="2:12" ht="17.25" customHeight="1">
      <c r="B21" s="22">
        <v>4</v>
      </c>
      <c r="C21" s="30">
        <v>4</v>
      </c>
      <c r="D21" s="31">
        <f t="shared" si="0"/>
        <v>4</v>
      </c>
      <c r="E21" s="32"/>
      <c r="F21" s="33"/>
      <c r="G21" s="37"/>
      <c r="H21" s="34" t="str">
        <f t="shared" si="1"/>
        <v/>
      </c>
      <c r="I21" s="35" t="str">
        <f t="shared" si="2"/>
        <v/>
      </c>
      <c r="J21" s="69" t="str">
        <f t="shared" si="3"/>
        <v/>
      </c>
      <c r="K21" s="67" t="str">
        <f t="shared" si="4"/>
        <v/>
      </c>
      <c r="L21" s="36"/>
    </row>
    <row r="22" spans="2:12" ht="17.25" customHeight="1">
      <c r="B22" s="22">
        <v>5</v>
      </c>
      <c r="C22" s="30">
        <v>5</v>
      </c>
      <c r="D22" s="31">
        <f t="shared" si="0"/>
        <v>5</v>
      </c>
      <c r="E22" s="32"/>
      <c r="F22" s="33"/>
      <c r="G22" s="37"/>
      <c r="H22" s="34" t="str">
        <f t="shared" si="1"/>
        <v/>
      </c>
      <c r="I22" s="35" t="str">
        <f t="shared" si="2"/>
        <v/>
      </c>
      <c r="J22" s="69" t="str">
        <f t="shared" si="3"/>
        <v/>
      </c>
      <c r="K22" s="67" t="str">
        <f t="shared" si="4"/>
        <v/>
      </c>
      <c r="L22" s="36"/>
    </row>
    <row r="23" spans="2:12" ht="17.25" customHeight="1">
      <c r="B23" s="22">
        <v>6</v>
      </c>
      <c r="C23" s="30">
        <v>6</v>
      </c>
      <c r="D23" s="31">
        <f t="shared" si="0"/>
        <v>6</v>
      </c>
      <c r="E23" s="32"/>
      <c r="F23" s="33"/>
      <c r="G23" s="37"/>
      <c r="H23" s="34" t="str">
        <f t="shared" si="1"/>
        <v/>
      </c>
      <c r="I23" s="35" t="str">
        <f t="shared" si="2"/>
        <v/>
      </c>
      <c r="J23" s="69" t="str">
        <f t="shared" si="3"/>
        <v/>
      </c>
      <c r="K23" s="67" t="str">
        <f t="shared" si="4"/>
        <v/>
      </c>
      <c r="L23" s="36"/>
    </row>
    <row r="24" spans="2:12" ht="17.25" customHeight="1">
      <c r="B24" s="22">
        <v>7</v>
      </c>
      <c r="C24" s="30">
        <v>7</v>
      </c>
      <c r="D24" s="31">
        <f t="shared" si="0"/>
        <v>7</v>
      </c>
      <c r="E24" s="32"/>
      <c r="F24" s="37"/>
      <c r="G24" s="37"/>
      <c r="H24" s="34" t="str">
        <f t="shared" si="1"/>
        <v/>
      </c>
      <c r="I24" s="35" t="str">
        <f t="shared" si="2"/>
        <v/>
      </c>
      <c r="J24" s="69" t="str">
        <f t="shared" si="3"/>
        <v/>
      </c>
      <c r="K24" s="67" t="str">
        <f t="shared" si="4"/>
        <v/>
      </c>
      <c r="L24" s="36"/>
    </row>
    <row r="25" spans="2:12" ht="17.25" customHeight="1">
      <c r="B25" s="22">
        <v>1</v>
      </c>
      <c r="C25" s="30">
        <v>8</v>
      </c>
      <c r="D25" s="31">
        <f t="shared" si="0"/>
        <v>1</v>
      </c>
      <c r="E25" s="32"/>
      <c r="F25" s="37"/>
      <c r="G25" s="37"/>
      <c r="H25" s="34" t="str">
        <f t="shared" si="1"/>
        <v/>
      </c>
      <c r="I25" s="35" t="str">
        <f t="shared" si="2"/>
        <v/>
      </c>
      <c r="J25" s="69" t="str">
        <f t="shared" si="3"/>
        <v/>
      </c>
      <c r="K25" s="67" t="str">
        <f t="shared" si="4"/>
        <v/>
      </c>
      <c r="L25" s="36"/>
    </row>
    <row r="26" spans="2:12" ht="17.25" customHeight="1">
      <c r="B26" s="22">
        <v>2</v>
      </c>
      <c r="C26" s="30">
        <v>9</v>
      </c>
      <c r="D26" s="31">
        <f t="shared" si="0"/>
        <v>2</v>
      </c>
      <c r="E26" s="32"/>
      <c r="F26" s="33"/>
      <c r="G26" s="37"/>
      <c r="H26" s="34" t="str">
        <f t="shared" si="1"/>
        <v/>
      </c>
      <c r="I26" s="35" t="str">
        <f t="shared" si="2"/>
        <v/>
      </c>
      <c r="J26" s="69" t="str">
        <f t="shared" si="3"/>
        <v/>
      </c>
      <c r="K26" s="67" t="str">
        <f t="shared" si="4"/>
        <v/>
      </c>
      <c r="L26" s="36"/>
    </row>
    <row r="27" spans="2:12" ht="17.25" customHeight="1">
      <c r="B27" s="22">
        <v>3</v>
      </c>
      <c r="C27" s="30">
        <v>10</v>
      </c>
      <c r="D27" s="31">
        <f t="shared" si="0"/>
        <v>3</v>
      </c>
      <c r="E27" s="32"/>
      <c r="F27" s="33"/>
      <c r="G27" s="37"/>
      <c r="H27" s="34" t="str">
        <f t="shared" si="1"/>
        <v/>
      </c>
      <c r="I27" s="35" t="str">
        <f t="shared" si="2"/>
        <v/>
      </c>
      <c r="J27" s="69" t="str">
        <f t="shared" si="3"/>
        <v/>
      </c>
      <c r="K27" s="67" t="str">
        <f t="shared" si="4"/>
        <v/>
      </c>
      <c r="L27" s="36"/>
    </row>
    <row r="28" spans="2:12" ht="17.25" customHeight="1">
      <c r="B28" s="22">
        <v>9</v>
      </c>
      <c r="C28" s="30">
        <v>11</v>
      </c>
      <c r="D28" s="31">
        <f t="shared" si="0"/>
        <v>4</v>
      </c>
      <c r="E28" s="32"/>
      <c r="F28" s="33"/>
      <c r="G28" s="37"/>
      <c r="H28" s="34" t="str">
        <f t="shared" si="1"/>
        <v/>
      </c>
      <c r="I28" s="35" t="str">
        <f t="shared" si="2"/>
        <v/>
      </c>
      <c r="J28" s="69" t="str">
        <f t="shared" si="3"/>
        <v/>
      </c>
      <c r="K28" s="67" t="str">
        <f t="shared" si="4"/>
        <v/>
      </c>
      <c r="L28" s="36"/>
    </row>
    <row r="29" spans="2:12" ht="17.25" customHeight="1">
      <c r="B29" s="22">
        <v>5</v>
      </c>
      <c r="C29" s="38">
        <v>12</v>
      </c>
      <c r="D29" s="39">
        <f t="shared" si="0"/>
        <v>5</v>
      </c>
      <c r="E29" s="32"/>
      <c r="F29" s="33"/>
      <c r="G29" s="37"/>
      <c r="H29" s="34" t="str">
        <f t="shared" si="1"/>
        <v/>
      </c>
      <c r="I29" s="35" t="str">
        <f t="shared" si="2"/>
        <v/>
      </c>
      <c r="J29" s="69" t="str">
        <f t="shared" si="3"/>
        <v/>
      </c>
      <c r="K29" s="67" t="str">
        <f t="shared" si="4"/>
        <v/>
      </c>
      <c r="L29" s="40"/>
    </row>
    <row r="30" spans="2:12" ht="17.25" customHeight="1">
      <c r="B30" s="22">
        <v>6</v>
      </c>
      <c r="C30" s="30">
        <v>13</v>
      </c>
      <c r="D30" s="31">
        <f t="shared" si="0"/>
        <v>6</v>
      </c>
      <c r="E30" s="32"/>
      <c r="F30" s="33"/>
      <c r="G30" s="37"/>
      <c r="H30" s="34" t="str">
        <f t="shared" si="1"/>
        <v/>
      </c>
      <c r="I30" s="35" t="str">
        <f t="shared" si="2"/>
        <v/>
      </c>
      <c r="J30" s="69" t="str">
        <f t="shared" si="3"/>
        <v/>
      </c>
      <c r="K30" s="67" t="str">
        <f t="shared" si="4"/>
        <v/>
      </c>
      <c r="L30" s="36"/>
    </row>
    <row r="31" spans="2:12" ht="17.25" customHeight="1">
      <c r="B31" s="22">
        <v>7</v>
      </c>
      <c r="C31" s="30">
        <v>14</v>
      </c>
      <c r="D31" s="31">
        <f t="shared" si="0"/>
        <v>7</v>
      </c>
      <c r="E31" s="32"/>
      <c r="F31" s="37"/>
      <c r="G31" s="37"/>
      <c r="H31" s="34" t="str">
        <f t="shared" si="1"/>
        <v/>
      </c>
      <c r="I31" s="35" t="str">
        <f t="shared" si="2"/>
        <v/>
      </c>
      <c r="J31" s="69" t="str">
        <f t="shared" si="3"/>
        <v/>
      </c>
      <c r="K31" s="67" t="str">
        <f t="shared" si="4"/>
        <v/>
      </c>
      <c r="L31" s="36"/>
    </row>
    <row r="32" spans="2:12" ht="17.25" customHeight="1">
      <c r="B32" s="22">
        <v>1</v>
      </c>
      <c r="C32" s="30">
        <v>15</v>
      </c>
      <c r="D32" s="31">
        <f t="shared" si="0"/>
        <v>1</v>
      </c>
      <c r="E32" s="32"/>
      <c r="F32" s="33"/>
      <c r="G32" s="37"/>
      <c r="H32" s="34" t="str">
        <f t="shared" si="1"/>
        <v/>
      </c>
      <c r="I32" s="35" t="str">
        <f t="shared" si="2"/>
        <v/>
      </c>
      <c r="J32" s="69" t="str">
        <f t="shared" si="3"/>
        <v/>
      </c>
      <c r="K32" s="67" t="str">
        <f t="shared" si="4"/>
        <v/>
      </c>
      <c r="L32" s="36"/>
    </row>
    <row r="33" spans="2:12" ht="17.25" customHeight="1">
      <c r="B33" s="22">
        <v>2</v>
      </c>
      <c r="C33" s="30">
        <v>16</v>
      </c>
      <c r="D33" s="31">
        <f t="shared" si="0"/>
        <v>2</v>
      </c>
      <c r="E33" s="32"/>
      <c r="F33" s="33"/>
      <c r="G33" s="37"/>
      <c r="H33" s="34" t="str">
        <f t="shared" si="1"/>
        <v/>
      </c>
      <c r="I33" s="35" t="str">
        <f t="shared" si="2"/>
        <v/>
      </c>
      <c r="J33" s="69" t="str">
        <f t="shared" si="3"/>
        <v/>
      </c>
      <c r="K33" s="67" t="str">
        <f t="shared" si="4"/>
        <v/>
      </c>
      <c r="L33" s="36"/>
    </row>
    <row r="34" spans="2:12" ht="17.25" customHeight="1">
      <c r="B34" s="22">
        <v>3</v>
      </c>
      <c r="C34" s="30">
        <v>17</v>
      </c>
      <c r="D34" s="31">
        <f t="shared" si="0"/>
        <v>3</v>
      </c>
      <c r="E34" s="32"/>
      <c r="F34" s="33"/>
      <c r="G34" s="37"/>
      <c r="H34" s="34" t="str">
        <f t="shared" si="1"/>
        <v/>
      </c>
      <c r="I34" s="35" t="str">
        <f t="shared" si="2"/>
        <v/>
      </c>
      <c r="J34" s="69" t="str">
        <f t="shared" si="3"/>
        <v/>
      </c>
      <c r="K34" s="67" t="str">
        <f t="shared" si="4"/>
        <v/>
      </c>
      <c r="L34" s="36"/>
    </row>
    <row r="35" spans="2:12" ht="17.25" customHeight="1">
      <c r="B35" s="22">
        <v>4</v>
      </c>
      <c r="C35" s="30">
        <v>18</v>
      </c>
      <c r="D35" s="31">
        <f t="shared" si="0"/>
        <v>4</v>
      </c>
      <c r="E35" s="32"/>
      <c r="F35" s="33"/>
      <c r="G35" s="37"/>
      <c r="H35" s="34" t="str">
        <f t="shared" si="1"/>
        <v/>
      </c>
      <c r="I35" s="35" t="str">
        <f t="shared" si="2"/>
        <v/>
      </c>
      <c r="J35" s="69" t="str">
        <f t="shared" si="3"/>
        <v/>
      </c>
      <c r="K35" s="67"/>
      <c r="L35" s="36"/>
    </row>
    <row r="36" spans="2:12" ht="17.25" customHeight="1">
      <c r="B36" s="22">
        <v>5</v>
      </c>
      <c r="C36" s="30">
        <v>19</v>
      </c>
      <c r="D36" s="31">
        <f t="shared" si="0"/>
        <v>5</v>
      </c>
      <c r="E36" s="32"/>
      <c r="F36" s="33"/>
      <c r="G36" s="37"/>
      <c r="H36" s="34" t="str">
        <f t="shared" si="1"/>
        <v/>
      </c>
      <c r="I36" s="35" t="str">
        <f t="shared" si="2"/>
        <v/>
      </c>
      <c r="J36" s="69" t="str">
        <f t="shared" si="3"/>
        <v/>
      </c>
      <c r="K36" s="67"/>
      <c r="L36" s="36"/>
    </row>
    <row r="37" spans="2:12" ht="17.25" customHeight="1">
      <c r="B37" s="22">
        <v>6</v>
      </c>
      <c r="C37" s="30">
        <v>20</v>
      </c>
      <c r="D37" s="31">
        <f t="shared" si="0"/>
        <v>6</v>
      </c>
      <c r="E37" s="32"/>
      <c r="F37" s="33"/>
      <c r="G37" s="37"/>
      <c r="H37" s="34" t="str">
        <f t="shared" si="1"/>
        <v/>
      </c>
      <c r="I37" s="35" t="str">
        <f t="shared" si="2"/>
        <v/>
      </c>
      <c r="J37" s="69" t="str">
        <f t="shared" si="3"/>
        <v/>
      </c>
      <c r="K37" s="67"/>
      <c r="L37" s="36"/>
    </row>
    <row r="38" spans="2:12" ht="17.25" customHeight="1">
      <c r="B38" s="22">
        <v>7</v>
      </c>
      <c r="C38" s="30">
        <v>21</v>
      </c>
      <c r="D38" s="31">
        <f t="shared" si="0"/>
        <v>7</v>
      </c>
      <c r="E38" s="32"/>
      <c r="F38" s="37"/>
      <c r="G38" s="37"/>
      <c r="H38" s="34" t="str">
        <f t="shared" si="1"/>
        <v/>
      </c>
      <c r="I38" s="35" t="str">
        <f t="shared" si="2"/>
        <v/>
      </c>
      <c r="J38" s="69" t="str">
        <f t="shared" si="3"/>
        <v/>
      </c>
      <c r="K38" s="67"/>
      <c r="L38" s="36"/>
    </row>
    <row r="39" spans="2:12" ht="17.25" customHeight="1">
      <c r="B39" s="22">
        <v>1</v>
      </c>
      <c r="C39" s="30">
        <v>22</v>
      </c>
      <c r="D39" s="31">
        <f t="shared" si="0"/>
        <v>1</v>
      </c>
      <c r="E39" s="32"/>
      <c r="F39" s="37"/>
      <c r="G39" s="37"/>
      <c r="H39" s="34" t="str">
        <f t="shared" si="1"/>
        <v/>
      </c>
      <c r="I39" s="35" t="str">
        <f t="shared" si="2"/>
        <v/>
      </c>
      <c r="J39" s="69" t="str">
        <f t="shared" si="3"/>
        <v/>
      </c>
      <c r="K39" s="67" t="str">
        <f t="shared" ref="K38:K48" si="5">IF(J39="","","残業種別を入れて下さい")</f>
        <v/>
      </c>
      <c r="L39" s="36"/>
    </row>
    <row r="40" spans="2:12" ht="17.25" customHeight="1">
      <c r="B40" s="22">
        <v>9</v>
      </c>
      <c r="C40" s="30">
        <v>23</v>
      </c>
      <c r="D40" s="31">
        <f t="shared" si="0"/>
        <v>2</v>
      </c>
      <c r="E40" s="32"/>
      <c r="F40" s="37"/>
      <c r="G40" s="37"/>
      <c r="H40" s="34" t="str">
        <f>IF(G40="","",IF(OR(AND(F40&gt;G40,G40+1-F40&gt;=0.25),G40-F40&gt;=0.25),"1:00",0))</f>
        <v/>
      </c>
      <c r="I40" s="35" t="str">
        <f>IF(G40="","",G40-F40-H40)</f>
        <v/>
      </c>
      <c r="J40" s="69" t="str">
        <f t="shared" si="3"/>
        <v/>
      </c>
      <c r="K40" s="67" t="str">
        <f t="shared" si="5"/>
        <v/>
      </c>
      <c r="L40" s="36"/>
    </row>
    <row r="41" spans="2:12" ht="17.25" customHeight="1">
      <c r="B41" s="22">
        <v>3</v>
      </c>
      <c r="C41" s="30">
        <v>24</v>
      </c>
      <c r="D41" s="31">
        <f t="shared" si="0"/>
        <v>3</v>
      </c>
      <c r="E41" s="32"/>
      <c r="F41" s="37"/>
      <c r="G41" s="37"/>
      <c r="H41" s="34" t="str">
        <f t="shared" si="1"/>
        <v/>
      </c>
      <c r="I41" s="35" t="str">
        <f t="shared" si="2"/>
        <v/>
      </c>
      <c r="J41" s="69" t="str">
        <f t="shared" si="3"/>
        <v/>
      </c>
      <c r="K41" s="67" t="str">
        <f t="shared" si="5"/>
        <v/>
      </c>
      <c r="L41" s="36"/>
    </row>
    <row r="42" spans="2:12" ht="17.25" customHeight="1">
      <c r="B42" s="22">
        <v>4</v>
      </c>
      <c r="C42" s="30">
        <v>25</v>
      </c>
      <c r="D42" s="31">
        <f t="shared" si="0"/>
        <v>4</v>
      </c>
      <c r="E42" s="32"/>
      <c r="F42" s="37"/>
      <c r="G42" s="37"/>
      <c r="H42" s="34" t="str">
        <f t="shared" si="1"/>
        <v/>
      </c>
      <c r="I42" s="35" t="str">
        <f t="shared" si="2"/>
        <v/>
      </c>
      <c r="J42" s="69" t="str">
        <f t="shared" si="3"/>
        <v/>
      </c>
      <c r="K42" s="67" t="str">
        <f t="shared" si="5"/>
        <v/>
      </c>
      <c r="L42" s="36"/>
    </row>
    <row r="43" spans="2:12" ht="17.25" customHeight="1">
      <c r="B43" s="22">
        <v>5</v>
      </c>
      <c r="C43" s="30">
        <v>26</v>
      </c>
      <c r="D43" s="31">
        <f t="shared" si="0"/>
        <v>5</v>
      </c>
      <c r="E43" s="32"/>
      <c r="F43" s="37"/>
      <c r="G43" s="37"/>
      <c r="H43" s="34" t="str">
        <f t="shared" si="1"/>
        <v/>
      </c>
      <c r="I43" s="35" t="str">
        <f t="shared" si="2"/>
        <v/>
      </c>
      <c r="J43" s="69" t="str">
        <f t="shared" si="3"/>
        <v/>
      </c>
      <c r="K43" s="67" t="str">
        <f t="shared" si="5"/>
        <v/>
      </c>
      <c r="L43" s="36"/>
    </row>
    <row r="44" spans="2:12" ht="17.25" customHeight="1">
      <c r="B44" s="22">
        <v>6</v>
      </c>
      <c r="C44" s="30">
        <v>27</v>
      </c>
      <c r="D44" s="31">
        <f t="shared" si="0"/>
        <v>6</v>
      </c>
      <c r="E44" s="32"/>
      <c r="F44" s="37"/>
      <c r="G44" s="37"/>
      <c r="H44" s="34" t="str">
        <f t="shared" si="1"/>
        <v/>
      </c>
      <c r="I44" s="35" t="str">
        <f t="shared" si="2"/>
        <v/>
      </c>
      <c r="J44" s="69" t="str">
        <f t="shared" si="3"/>
        <v/>
      </c>
      <c r="K44" s="67" t="str">
        <f t="shared" si="5"/>
        <v/>
      </c>
      <c r="L44" s="36"/>
    </row>
    <row r="45" spans="2:12" ht="17.25" customHeight="1">
      <c r="B45" s="22">
        <v>7</v>
      </c>
      <c r="C45" s="30">
        <v>28</v>
      </c>
      <c r="D45" s="31">
        <f t="shared" si="0"/>
        <v>7</v>
      </c>
      <c r="E45" s="32"/>
      <c r="F45" s="37"/>
      <c r="G45" s="37"/>
      <c r="H45" s="34" t="str">
        <f t="shared" si="1"/>
        <v/>
      </c>
      <c r="I45" s="35" t="str">
        <f t="shared" si="2"/>
        <v/>
      </c>
      <c r="J45" s="69" t="str">
        <f t="shared" si="3"/>
        <v/>
      </c>
      <c r="K45" s="67" t="str">
        <f t="shared" si="5"/>
        <v/>
      </c>
      <c r="L45" s="36"/>
    </row>
    <row r="46" spans="2:12" ht="17.25" customHeight="1">
      <c r="B46" s="22"/>
      <c r="C46" s="30" t="str">
        <f>IF(MONTH(DATE(C$6,C$7,29))&lt;&gt;C$7,"",29)</f>
        <v/>
      </c>
      <c r="D46" s="31" t="str">
        <f t="shared" si="0"/>
        <v/>
      </c>
      <c r="E46" s="32"/>
      <c r="F46" s="37"/>
      <c r="G46" s="37"/>
      <c r="H46" s="34" t="str">
        <f t="shared" si="1"/>
        <v/>
      </c>
      <c r="I46" s="35" t="str">
        <f t="shared" si="2"/>
        <v/>
      </c>
      <c r="J46" s="69" t="str">
        <f t="shared" si="3"/>
        <v/>
      </c>
      <c r="K46" s="67" t="str">
        <f t="shared" si="5"/>
        <v/>
      </c>
      <c r="L46" s="36"/>
    </row>
    <row r="47" spans="2:12" ht="17.25" customHeight="1">
      <c r="B47" s="22"/>
      <c r="C47" s="30" t="str">
        <f>IF(MONTH(DATE(C$6,C$7,30))&lt;&gt;C$7,"",30)</f>
        <v/>
      </c>
      <c r="D47" s="31" t="str">
        <f>IF(OR(C47="",C47="****"),"",WEEKDAY(DATE($C$6,$C$7,C47)))</f>
        <v/>
      </c>
      <c r="E47" s="32"/>
      <c r="F47" s="37"/>
      <c r="G47" s="37"/>
      <c r="H47" s="34" t="str">
        <f t="shared" si="1"/>
        <v/>
      </c>
      <c r="I47" s="35" t="str">
        <f t="shared" si="2"/>
        <v/>
      </c>
      <c r="J47" s="69" t="str">
        <f t="shared" si="3"/>
        <v/>
      </c>
      <c r="K47" s="67" t="str">
        <f t="shared" si="5"/>
        <v/>
      </c>
      <c r="L47" s="36"/>
    </row>
    <row r="48" spans="2:12" ht="17.25" customHeight="1">
      <c r="B48" s="22"/>
      <c r="C48" s="41" t="str">
        <f>IF(C7&lt;=7,IF(C7=2,"",IF(MOD(C7,2)=0,"",31)),IF(C7&gt;7,IF(MOD(C7,2)=0,31,"")))</f>
        <v/>
      </c>
      <c r="D48" s="42" t="str">
        <f>IF(OR(C48="",C48="****"),"",WEEKDAY(DATE($C$6,$C$7,C48)))</f>
        <v/>
      </c>
      <c r="E48" s="43"/>
      <c r="F48" s="44"/>
      <c r="G48" s="44"/>
      <c r="H48" s="45" t="str">
        <f t="shared" si="1"/>
        <v/>
      </c>
      <c r="I48" s="46" t="str">
        <f t="shared" si="2"/>
        <v/>
      </c>
      <c r="J48" s="70" t="str">
        <f t="shared" si="3"/>
        <v/>
      </c>
      <c r="K48" s="67" t="str">
        <f t="shared" si="5"/>
        <v/>
      </c>
      <c r="L48" s="47"/>
    </row>
    <row r="49" spans="3:16" ht="17.25" customHeight="1">
      <c r="C49" s="80"/>
      <c r="D49" s="81"/>
      <c r="E49" s="48"/>
      <c r="F49" s="49"/>
      <c r="G49" s="50"/>
      <c r="H49" s="50"/>
      <c r="I49" s="72">
        <f>SUM(I18:I48)</f>
        <v>0</v>
      </c>
      <c r="J49" s="51">
        <f>SUM(J18:J48)</f>
        <v>0</v>
      </c>
      <c r="K49" s="71"/>
      <c r="L49" s="52"/>
    </row>
    <row r="50" spans="3:16" ht="14.25" customHeight="1">
      <c r="C50" s="53"/>
      <c r="D50" s="54"/>
      <c r="E50" s="55"/>
      <c r="F50" s="55"/>
      <c r="G50" s="55"/>
      <c r="H50" s="56"/>
      <c r="I50" s="56"/>
      <c r="J50" s="57"/>
      <c r="K50" s="54"/>
      <c r="L50" s="57"/>
      <c r="M50" s="57"/>
      <c r="N50" s="58"/>
      <c r="O50" s="1"/>
      <c r="P50" s="1"/>
    </row>
    <row r="51" spans="3:16" ht="12.75" customHeight="1">
      <c r="J51" s="57"/>
      <c r="K51" s="54"/>
      <c r="N51" s="59"/>
    </row>
    <row r="52" spans="3:16" ht="12.75" customHeight="1">
      <c r="C52" s="60"/>
      <c r="E52" s="54"/>
      <c r="F52" s="61"/>
      <c r="N52" s="59"/>
    </row>
    <row r="53" spans="3:16" ht="12.75" customHeight="1">
      <c r="E53" s="17"/>
      <c r="F53" s="62"/>
    </row>
    <row r="54" spans="3:16" ht="12.75" customHeight="1">
      <c r="E54" s="17"/>
      <c r="F54" s="62"/>
    </row>
    <row r="55" spans="3:16" ht="12.75" customHeight="1">
      <c r="E55" s="54"/>
      <c r="F55" s="63"/>
    </row>
    <row r="56" spans="3:16" ht="12.75" customHeight="1">
      <c r="F56" s="64"/>
    </row>
    <row r="57" spans="3:16" ht="12.75" customHeight="1">
      <c r="E57" s="64"/>
      <c r="F57" s="65"/>
    </row>
  </sheetData>
  <mergeCells count="6">
    <mergeCell ref="C49:D49"/>
    <mergeCell ref="C6:D6"/>
    <mergeCell ref="C7:D7"/>
    <mergeCell ref="C4:H4"/>
    <mergeCell ref="C14:M14"/>
    <mergeCell ref="C13:M13"/>
  </mergeCells>
  <phoneticPr fontId="2"/>
  <conditionalFormatting sqref="C18:L48">
    <cfRule type="expression" dxfId="1" priority="1">
      <formula>$E18="休祭日"</formula>
    </cfRule>
    <cfRule type="expression" dxfId="0" priority="2">
      <formula>$E18="シフト休"</formula>
    </cfRule>
  </conditionalFormatting>
  <dataValidations count="6">
    <dataValidation type="list" errorStyle="warning" allowBlank="1" showErrorMessage="1" errorTitle="休憩時間" error="6時間以上の勤務で45分以上、_x000a_8時間以上の勤務で１時間以上の休憩が必要です。" promptTitle="休憩時間" prompt="6時間以上の勤務で45分以上、_x000a_8時間以上の勤務で１時間以上の休憩が必要です。" sqref="H18:H48" xr:uid="{00000000-0002-0000-0000-000000000000}">
      <formula1>休憩時間SBA</formula1>
      <formula2>0</formula2>
    </dataValidation>
    <dataValidation type="list" allowBlank="1" showInputMessage="1" showErrorMessage="1" sqref="G18:G48" xr:uid="{00000000-0002-0000-0000-000001000000}">
      <formula1>終業時刻SBA</formula1>
      <formula2>0</formula2>
    </dataValidation>
    <dataValidation type="list" allowBlank="1" showInputMessage="1" showErrorMessage="1" sqref="F18:F48" xr:uid="{00000000-0002-0000-0000-000002000000}">
      <formula1>始業時刻SBA</formula1>
      <formula2>0</formula2>
    </dataValidation>
    <dataValidation type="list" allowBlank="1" showInputMessage="1" showErrorMessage="1" sqref="K18:K48" xr:uid="{00000000-0002-0000-0000-000003000000}">
      <formula1>残業種別SBA</formula1>
      <formula2>0</formula2>
    </dataValidation>
    <dataValidation type="list" errorStyle="warning" showInputMessage="1" showErrorMessage="1" errorTitle="就労セル" error="_x000a_手入力・空白は基本的に禁止です。" sqref="E18:E48" xr:uid="{00000000-0002-0000-0000-000004000000}">
      <formula1>就労SBA</formula1>
      <formula2>0</formula2>
    </dataValidation>
    <dataValidation type="list" allowBlank="1" showInputMessage="1" showErrorMessage="1" sqref="N6" xr:uid="{00000000-0002-0000-0000-000005000000}">
      <formula1>"携5-,携5+,携24"</formula1>
      <formula2>0</formula2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Masashi Miyata</cp:lastModifiedBy>
  <dcterms:created xsi:type="dcterms:W3CDTF">2026-02-15T14:38:45Z</dcterms:created>
  <dcterms:modified xsi:type="dcterms:W3CDTF">2026-02-21T06:54:30Z</dcterms:modified>
</cp:coreProperties>
</file>